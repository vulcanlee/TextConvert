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ulcan\Exentric\成大\肌少產品臨床試驗架構建置\"/>
    </mc:Choice>
  </mc:AlternateContent>
  <xr:revisionPtr revIDLastSave="0" documentId="13_ncr:1_{45B89C7C-AC89-46DD-AB6A-64FE01E5C1CB}" xr6:coauthVersionLast="47" xr6:coauthVersionMax="47" xr10:uidLastSave="{00000000-0000-0000-0000-000000000000}"/>
  <bookViews>
    <workbookView xWindow="-108" yWindow="-108" windowWidth="23256" windowHeight="12456" xr2:uid="{26C36087-A811-4447-ADB2-EF733C54BD72}"/>
  </bookViews>
  <sheets>
    <sheet name="工時預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8" i="1" s="1"/>
  <c r="E5" i="1"/>
  <c r="E6" i="1"/>
  <c r="E7" i="1"/>
  <c r="E8" i="1"/>
  <c r="E9" i="1"/>
  <c r="E10" i="1"/>
  <c r="E11" i="1"/>
  <c r="E12" i="1"/>
  <c r="E13" i="1"/>
  <c r="E14" i="1"/>
  <c r="E15" i="1"/>
  <c r="E19" i="1"/>
  <c r="E20" i="1"/>
  <c r="E21" i="1"/>
  <c r="E22" i="1"/>
  <c r="E24" i="1"/>
  <c r="E25" i="1"/>
  <c r="E26" i="1"/>
  <c r="E3" i="1"/>
  <c r="E4" i="1"/>
  <c r="E2" i="1"/>
  <c r="C29" i="1" l="1"/>
  <c r="F26" i="1"/>
  <c r="C30" i="1"/>
</calcChain>
</file>

<file path=xl/sharedStrings.xml><?xml version="1.0" encoding="utf-8"?>
<sst xmlns="http://schemas.openxmlformats.org/spreadsheetml/2006/main" count="36" uniqueCount="36">
  <si>
    <t>類型</t>
    <phoneticPr fontId="1" type="noConversion"/>
  </si>
  <si>
    <t>項目</t>
    <phoneticPr fontId="1" type="noConversion"/>
  </si>
  <si>
    <t>工時 (小時)</t>
    <phoneticPr fontId="1" type="noConversion"/>
  </si>
  <si>
    <t>工時合計</t>
    <phoneticPr fontId="1" type="noConversion"/>
  </si>
  <si>
    <t xml:space="preserve">1600元 / H   費用預估  </t>
    <phoneticPr fontId="1" type="noConversion"/>
  </si>
  <si>
    <t xml:space="preserve">600元 / H   費用預估  </t>
    <phoneticPr fontId="1" type="noConversion"/>
  </si>
  <si>
    <t>day/man</t>
    <phoneticPr fontId="1" type="noConversion"/>
  </si>
  <si>
    <t>Month/Man</t>
    <phoneticPr fontId="1" type="noConversion"/>
  </si>
  <si>
    <t>醫師實際使用後的需求調整時數，尚未列入</t>
    <phoneticPr fontId="1" type="noConversion"/>
  </si>
  <si>
    <t>系統開發</t>
    <phoneticPr fontId="1" type="noConversion"/>
  </si>
  <si>
    <t xml:space="preserve">1000元 / H   費用預估  </t>
    <phoneticPr fontId="1" type="noConversion"/>
  </si>
  <si>
    <t>系統分析與設計</t>
    <phoneticPr fontId="1" type="noConversion"/>
  </si>
  <si>
    <t>系統架構規劃</t>
    <phoneticPr fontId="1" type="noConversion"/>
  </si>
  <si>
    <t>UI畫面設計</t>
    <phoneticPr fontId="1" type="noConversion"/>
  </si>
  <si>
    <t>FHIR 整合架構設計</t>
    <phoneticPr fontId="1" type="noConversion"/>
  </si>
  <si>
    <t>問卷模組彙整匯出</t>
    <phoneticPr fontId="1" type="noConversion"/>
  </si>
  <si>
    <t>受試者個人資料管理</t>
    <phoneticPr fontId="1" type="noConversion"/>
  </si>
  <si>
    <t>受試者治療歷程管理</t>
    <phoneticPr fontId="1" type="noConversion"/>
  </si>
  <si>
    <t>權控需求設計</t>
    <phoneticPr fontId="1" type="noConversion"/>
  </si>
  <si>
    <t>oAuth Server 服務建置</t>
    <phoneticPr fontId="1" type="noConversion"/>
  </si>
  <si>
    <t>受試者生化資料管理</t>
    <phoneticPr fontId="1" type="noConversion"/>
  </si>
  <si>
    <t>受試者試驗資料管理</t>
    <phoneticPr fontId="1" type="noConversion"/>
  </si>
  <si>
    <t>受試者血液資料管理</t>
    <phoneticPr fontId="1" type="noConversion"/>
  </si>
  <si>
    <t>受試者風險手術管理</t>
    <phoneticPr fontId="1" type="noConversion"/>
  </si>
  <si>
    <t>身分驗證管理</t>
    <phoneticPr fontId="1" type="noConversion"/>
  </si>
  <si>
    <t>角色與權限管理</t>
    <phoneticPr fontId="1" type="noConversion"/>
  </si>
  <si>
    <t>個案瀏覽(子宮頸癌、卵巢癌)</t>
    <phoneticPr fontId="1" type="noConversion"/>
  </si>
  <si>
    <t>受試者管理Dicom上傳</t>
    <phoneticPr fontId="1" type="noConversion"/>
  </si>
  <si>
    <t>收案數量((子宮頸癌、卵巢癌、個案)查詢</t>
    <phoneticPr fontId="1" type="noConversion"/>
  </si>
  <si>
    <t>使用手冊與文件製作</t>
    <phoneticPr fontId="1" type="noConversion"/>
  </si>
  <si>
    <t>資料備份或者還原功能</t>
    <phoneticPr fontId="1" type="noConversion"/>
  </si>
  <si>
    <t>生活品質問卷模組輸入與管理</t>
    <phoneticPr fontId="1" type="noConversion"/>
  </si>
  <si>
    <t>化療副作用問卷模組輸入與管理</t>
    <phoneticPr fontId="1" type="noConversion"/>
  </si>
  <si>
    <t>標靶副作用問卷模組輸入與管理</t>
    <phoneticPr fontId="1" type="noConversion"/>
  </si>
  <si>
    <t>放療副作用問卷模組輸入與管理</t>
    <phoneticPr fontId="1" type="noConversion"/>
  </si>
  <si>
    <t>Smart on FHIR 沙盒驗證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</si>
</sst>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b/>
      <sz val="14"/>
      <color theme="1"/>
      <name val="Consolas"/>
      <family val="3"/>
    </font>
    <font>
      <sz val="14"/>
      <color theme="1"/>
      <name val="Consolas"/>
      <family val="3"/>
    </font>
    <font>
      <b/>
      <sz val="14"/>
      <color theme="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2" borderId="1" xfId="0" applyNumberFormat="1" applyFont="1" applyFill="1" applyBorder="1">
      <alignment vertical="center"/>
    </xf>
    <xf numFmtId="0" fontId="3" fillId="2" borderId="2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5">
    <dxf>
      <font>
        <strike val="0"/>
        <outline val="0"/>
        <shadow val="0"/>
        <u val="none"/>
        <vertAlign val="baseline"/>
        <sz val="14"/>
        <name val="Consolas"/>
        <family val="3"/>
        <scheme val="none"/>
      </font>
      <numFmt numFmtId="176" formatCode="#,##0_ "/>
    </dxf>
    <dxf>
      <font>
        <strike val="0"/>
        <outline val="0"/>
        <shadow val="0"/>
        <u val="none"/>
        <vertAlign val="baseline"/>
        <sz val="16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6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6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6"/>
        <name val="新細明體"/>
        <family val="1"/>
        <charset val="136"/>
        <scheme val="minor"/>
      </font>
    </dxf>
  </dxfs>
  <tableStyles count="0" defaultTableStyle="TableStyleMedium2" defaultPivotStyle="PivotStyleLight16"/>
  <colors>
    <mruColors>
      <color rgb="FFFF99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9E3BD-D3FC-483F-B5E4-FF7C61B555E0}" name="表格1" displayName="表格1" ref="A1:C25" totalsRowShown="0" headerRowDxfId="4" dataDxfId="3">
  <autoFilter ref="A1:C25" xr:uid="{C0E9E3BD-D3FC-483F-B5E4-FF7C61B555E0}"/>
  <tableColumns count="3">
    <tableColumn id="1" xr3:uid="{4C1A5156-229E-4B53-ABB0-C3F7ACBEF00C}" name="類型" dataDxfId="2"/>
    <tableColumn id="2" xr3:uid="{0092BE01-7B1E-4589-8115-BC8F8CE2B577}" name="項目" dataDxfId="1"/>
    <tableColumn id="3" xr3:uid="{1169AA7D-8A38-4602-9C4B-E52CB4DBA774}" name="工時 (小時)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3EEE-F932-4F70-A5A3-2661652CB14D}">
  <dimension ref="A1:G32"/>
  <sheetViews>
    <sheetView tabSelected="1" topLeftCell="A5" zoomScale="70" zoomScaleNormal="70" workbookViewId="0">
      <selection activeCell="C24" sqref="C24"/>
    </sheetView>
  </sheetViews>
  <sheetFormatPr defaultRowHeight="16.2" x14ac:dyDescent="0.3"/>
  <cols>
    <col min="1" max="1" width="24" customWidth="1"/>
    <col min="2" max="2" width="55.5546875" customWidth="1"/>
    <col min="3" max="3" width="19.77734375" customWidth="1"/>
    <col min="5" max="5" width="17.88671875" customWidth="1"/>
    <col min="6" max="6" width="15.6640625" customWidth="1"/>
  </cols>
  <sheetData>
    <row r="1" spans="1:5" ht="22.2" x14ac:dyDescent="0.3">
      <c r="A1" s="1" t="s">
        <v>0</v>
      </c>
      <c r="B1" s="1" t="s">
        <v>1</v>
      </c>
      <c r="C1" s="1" t="s">
        <v>2</v>
      </c>
      <c r="E1" t="s">
        <v>6</v>
      </c>
    </row>
    <row r="2" spans="1:5" ht="22.2" x14ac:dyDescent="0.3">
      <c r="A2" s="1" t="s">
        <v>11</v>
      </c>
      <c r="B2" s="1" t="s">
        <v>12</v>
      </c>
      <c r="C2" s="4">
        <v>0</v>
      </c>
      <c r="E2">
        <f>表格1[[#This Row],[工時 (小時)]]/8</f>
        <v>0</v>
      </c>
    </row>
    <row r="3" spans="1:5" ht="22.2" x14ac:dyDescent="0.3">
      <c r="A3" s="1"/>
      <c r="B3" s="1" t="s">
        <v>13</v>
      </c>
      <c r="C3" s="4">
        <v>0</v>
      </c>
      <c r="E3">
        <f>表格1[[#This Row],[工時 (小時)]]/8</f>
        <v>0</v>
      </c>
    </row>
    <row r="4" spans="1:5" ht="22.2" x14ac:dyDescent="0.3">
      <c r="A4" s="1"/>
      <c r="B4" s="1" t="s">
        <v>14</v>
      </c>
      <c r="C4" s="4">
        <v>0</v>
      </c>
      <c r="E4">
        <f>表格1[[#This Row],[工時 (小時)]]/8</f>
        <v>0</v>
      </c>
    </row>
    <row r="5" spans="1:5" ht="22.2" x14ac:dyDescent="0.3">
      <c r="A5" s="1"/>
      <c r="B5" s="1" t="s">
        <v>18</v>
      </c>
      <c r="C5" s="4">
        <v>0</v>
      </c>
      <c r="E5">
        <f>表格1[[#This Row],[工時 (小時)]]/8</f>
        <v>0</v>
      </c>
    </row>
    <row r="6" spans="1:5" ht="22.2" x14ac:dyDescent="0.3">
      <c r="A6" s="1" t="s">
        <v>9</v>
      </c>
      <c r="B6" s="1" t="s">
        <v>26</v>
      </c>
      <c r="C6" s="4">
        <v>0</v>
      </c>
      <c r="E6">
        <f>表格1[[#This Row],[工時 (小時)]]/8</f>
        <v>0</v>
      </c>
    </row>
    <row r="7" spans="1:5" ht="22.2" x14ac:dyDescent="0.3">
      <c r="A7" s="1"/>
      <c r="B7" s="1" t="s">
        <v>28</v>
      </c>
      <c r="C7" s="4">
        <v>0</v>
      </c>
      <c r="E7">
        <f>表格1[[#This Row],[工時 (小時)]]/8</f>
        <v>0</v>
      </c>
    </row>
    <row r="8" spans="1:5" ht="22.2" x14ac:dyDescent="0.3">
      <c r="A8" s="1"/>
      <c r="B8" s="1" t="s">
        <v>16</v>
      </c>
      <c r="C8" s="4">
        <v>0</v>
      </c>
      <c r="E8">
        <f>表格1[[#This Row],[工時 (小時)]]/8</f>
        <v>0</v>
      </c>
    </row>
    <row r="9" spans="1:5" ht="22.2" x14ac:dyDescent="0.3">
      <c r="A9" s="1"/>
      <c r="B9" s="1" t="s">
        <v>21</v>
      </c>
      <c r="C9" s="4">
        <v>0</v>
      </c>
      <c r="E9">
        <f>表格1[[#This Row],[工時 (小時)]]/8</f>
        <v>0</v>
      </c>
    </row>
    <row r="10" spans="1:5" ht="22.2" x14ac:dyDescent="0.3">
      <c r="A10" s="1"/>
      <c r="B10" s="1" t="s">
        <v>20</v>
      </c>
      <c r="C10" s="4">
        <v>0</v>
      </c>
      <c r="E10">
        <f>表格1[[#This Row],[工時 (小時)]]/8</f>
        <v>0</v>
      </c>
    </row>
    <row r="11" spans="1:5" ht="22.2" x14ac:dyDescent="0.3">
      <c r="A11" s="1"/>
      <c r="B11" s="1" t="s">
        <v>22</v>
      </c>
      <c r="C11" s="4">
        <v>0</v>
      </c>
      <c r="E11">
        <f>表格1[[#This Row],[工時 (小時)]]/8</f>
        <v>0</v>
      </c>
    </row>
    <row r="12" spans="1:5" ht="22.2" x14ac:dyDescent="0.3">
      <c r="A12" s="1"/>
      <c r="B12" s="1" t="s">
        <v>17</v>
      </c>
      <c r="C12" s="4">
        <v>0</v>
      </c>
      <c r="E12">
        <f>表格1[[#This Row],[工時 (小時)]]/8</f>
        <v>0</v>
      </c>
    </row>
    <row r="13" spans="1:5" ht="22.2" x14ac:dyDescent="0.3">
      <c r="A13" s="1"/>
      <c r="B13" s="1" t="s">
        <v>23</v>
      </c>
      <c r="C13" s="4">
        <v>0</v>
      </c>
      <c r="E13">
        <f>表格1[[#This Row],[工時 (小時)]]/8</f>
        <v>0</v>
      </c>
    </row>
    <row r="14" spans="1:5" ht="22.2" x14ac:dyDescent="0.3">
      <c r="A14" s="1"/>
      <c r="B14" s="1" t="s">
        <v>27</v>
      </c>
      <c r="C14" s="4">
        <v>0</v>
      </c>
      <c r="E14">
        <f>表格1[[#This Row],[工時 (小時)]]/8</f>
        <v>0</v>
      </c>
    </row>
    <row r="15" spans="1:5" ht="22.2" x14ac:dyDescent="0.3">
      <c r="A15" s="1"/>
      <c r="B15" s="1" t="s">
        <v>32</v>
      </c>
      <c r="C15" s="4">
        <v>0</v>
      </c>
      <c r="E15">
        <f>表格1[[#This Row],[工時 (小時)]]/8</f>
        <v>0</v>
      </c>
    </row>
    <row r="16" spans="1:5" ht="22.2" x14ac:dyDescent="0.3">
      <c r="A16" s="1"/>
      <c r="B16" s="1" t="s">
        <v>33</v>
      </c>
      <c r="C16" s="4">
        <v>0</v>
      </c>
    </row>
    <row r="17" spans="1:7" ht="22.2" x14ac:dyDescent="0.3">
      <c r="B17" s="1" t="s">
        <v>34</v>
      </c>
      <c r="C17" s="4">
        <v>0</v>
      </c>
    </row>
    <row r="18" spans="1:7" ht="22.2" x14ac:dyDescent="0.3">
      <c r="A18" s="1"/>
      <c r="B18" s="1" t="s">
        <v>31</v>
      </c>
      <c r="C18" s="4">
        <v>0</v>
      </c>
    </row>
    <row r="19" spans="1:7" ht="22.2" x14ac:dyDescent="0.3">
      <c r="A19" s="1"/>
      <c r="B19" s="1" t="s">
        <v>15</v>
      </c>
      <c r="C19" s="4">
        <v>0</v>
      </c>
      <c r="E19">
        <f>表格1[[#This Row],[工時 (小時)]]/8</f>
        <v>0</v>
      </c>
    </row>
    <row r="20" spans="1:7" ht="22.2" x14ac:dyDescent="0.3">
      <c r="A20" s="1"/>
      <c r="B20" s="1" t="s">
        <v>24</v>
      </c>
      <c r="C20" s="4">
        <v>0</v>
      </c>
      <c r="E20">
        <f>表格1[[#This Row],[工時 (小時)]]/8</f>
        <v>0</v>
      </c>
    </row>
    <row r="21" spans="1:7" ht="22.2" x14ac:dyDescent="0.3">
      <c r="A21" s="1"/>
      <c r="B21" s="1" t="s">
        <v>25</v>
      </c>
      <c r="C21" s="4">
        <v>0</v>
      </c>
      <c r="E21">
        <f>表格1[[#This Row],[工時 (小時)]]/8</f>
        <v>0</v>
      </c>
    </row>
    <row r="22" spans="1:7" ht="22.2" x14ac:dyDescent="0.3">
      <c r="A22" s="1"/>
      <c r="B22" s="1" t="s">
        <v>19</v>
      </c>
      <c r="C22" s="4">
        <v>0</v>
      </c>
      <c r="E22">
        <f>表格1[[#This Row],[工時 (小時)]]/8</f>
        <v>0</v>
      </c>
    </row>
    <row r="23" spans="1:7" ht="22.2" x14ac:dyDescent="0.3">
      <c r="B23" s="1" t="s">
        <v>35</v>
      </c>
      <c r="C23" s="4">
        <v>0</v>
      </c>
    </row>
    <row r="24" spans="1:7" ht="22.2" x14ac:dyDescent="0.3">
      <c r="A24" s="1"/>
      <c r="B24" s="1" t="s">
        <v>30</v>
      </c>
      <c r="C24" s="4">
        <v>0</v>
      </c>
      <c r="E24">
        <f>表格1[[#This Row],[工時 (小時)]]/8</f>
        <v>0</v>
      </c>
    </row>
    <row r="25" spans="1:7" ht="22.2" x14ac:dyDescent="0.3">
      <c r="A25" s="1"/>
      <c r="B25" s="1" t="s">
        <v>29</v>
      </c>
      <c r="C25" s="4">
        <v>0</v>
      </c>
      <c r="E25">
        <f>表格1[[#This Row],[工時 (小時)]]/8</f>
        <v>0</v>
      </c>
    </row>
    <row r="26" spans="1:7" ht="22.8" thickBot="1" x14ac:dyDescent="0.35">
      <c r="A26" s="6" t="s">
        <v>3</v>
      </c>
      <c r="B26" s="7"/>
      <c r="C26" s="5">
        <f>SUBTOTAL(109,表格1[工時 (小時)])</f>
        <v>0</v>
      </c>
      <c r="E26" t="e">
        <f>表格1[[#This Row],[工時 (小時)]]/8</f>
        <v>#VALUE!</v>
      </c>
      <c r="F26" t="e">
        <f>E26/20</f>
        <v>#VALUE!</v>
      </c>
      <c r="G26" t="s">
        <v>7</v>
      </c>
    </row>
    <row r="27" spans="1:7" ht="16.8" thickTop="1" x14ac:dyDescent="0.3"/>
    <row r="28" spans="1:7" ht="22.2" x14ac:dyDescent="0.3">
      <c r="B28" s="2" t="s">
        <v>4</v>
      </c>
      <c r="C28" s="3">
        <f>C26*1600</f>
        <v>0</v>
      </c>
    </row>
    <row r="29" spans="1:7" ht="22.2" x14ac:dyDescent="0.3">
      <c r="B29" s="2" t="s">
        <v>10</v>
      </c>
      <c r="C29" s="3">
        <f>C26*1000</f>
        <v>0</v>
      </c>
    </row>
    <row r="30" spans="1:7" ht="22.2" x14ac:dyDescent="0.3">
      <c r="B30" s="2" t="s">
        <v>5</v>
      </c>
      <c r="C30" s="3">
        <f>C26*600</f>
        <v>0</v>
      </c>
    </row>
    <row r="31" spans="1:7" ht="22.2" x14ac:dyDescent="0.3">
      <c r="B31" s="2" t="s">
        <v>8</v>
      </c>
    </row>
    <row r="32" spans="1:7" ht="22.2" x14ac:dyDescent="0.3">
      <c r="B32" s="2"/>
    </row>
  </sheetData>
  <mergeCells count="1">
    <mergeCell ref="A26:B26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工時預估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vulcan lee</dc:creator>
  <cp:lastModifiedBy>vulcan lee</cp:lastModifiedBy>
  <dcterms:created xsi:type="dcterms:W3CDTF">2024-08-05T03:28:04Z</dcterms:created>
  <dcterms:modified xsi:type="dcterms:W3CDTF">2025-02-24T05:10:17Z</dcterms:modified>
</cp:coreProperties>
</file>